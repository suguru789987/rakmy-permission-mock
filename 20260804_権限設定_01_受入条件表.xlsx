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入条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3"/>
    </font>
    <font>
      <color rgb="005B6B7C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7A8C"/>
      </patternFill>
    </fill>
  </fills>
  <borders count="2">
    <border>
      <left/>
      <right/>
      <top/>
      <bottom/>
      <diagonal/>
    </border>
    <border>
      <left style="thin">
        <color rgb="00D6DEE5"/>
      </left>
      <right style="thin">
        <color rgb="00D6DEE5"/>
      </right>
      <top style="thin">
        <color rgb="00D6DEE5"/>
      </top>
      <bottom style="thin">
        <color rgb="00D6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9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E0"/>
        </patternFill>
      </fill>
    </dxf>
    <dxf>
      <fill>
        <patternFill patternType="solid">
          <fgColor rgb="00FBDC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9" customWidth="1" min="4" max="4"/>
    <col width="10" customWidth="1" min="5" max="5"/>
    <col width="34" customWidth="1" min="6" max="6"/>
    <col width="40" customWidth="1" min="7" max="7"/>
    <col width="36" customWidth="1" min="8" max="8"/>
    <col width="22" customWidth="1" min="9" max="9"/>
    <col width="22" customWidth="1" min="10" max="10"/>
    <col width="16" customWidth="1" min="11" max="11"/>
    <col width="26" customWidth="1" min="12" max="12"/>
    <col width="24" customWidth="1" min="13" max="13"/>
    <col width="9" customWidth="1" min="14" max="14"/>
    <col width="16" customWidth="1" min="15" max="15"/>
    <col width="12" customWidth="1" min="16" max="16"/>
    <col width="12" customWidth="1" min="17" max="17"/>
  </cols>
  <sheetData>
    <row r="1">
      <c r="A1" s="1" t="inlineStr">
        <is>
          <t>権限設定 受入条件表 ─ どこまで実装できれば合格か</t>
        </is>
      </c>
    </row>
    <row r="2">
      <c r="A2" s="2" t="inlineStr">
        <is>
          <t>「合否」に OK / NG を入れると下の到達状況が自動で集計されます。判定は上のマイルストーン順に進めてください。</t>
        </is>
      </c>
    </row>
    <row r="4">
      <c r="A4" s="3" t="inlineStr">
        <is>
          <t>マイルストーン</t>
        </is>
      </c>
      <c r="B4" s="3" t="inlineStr">
        <is>
          <t>完了条件</t>
        </is>
      </c>
      <c r="C4" s="3" t="inlineStr"/>
      <c r="D4" s="3" t="inlineStr"/>
      <c r="E4" s="3" t="inlineStr">
        <is>
          <t>条件数</t>
        </is>
      </c>
      <c r="F4" s="3" t="inlineStr">
        <is>
          <t>OK</t>
        </is>
      </c>
      <c r="G4" s="3" t="inlineStr">
        <is>
          <t>NG</t>
        </is>
      </c>
      <c r="H4" s="3" t="inlineStr">
        <is>
          <t>未判定</t>
        </is>
      </c>
      <c r="I4" s="4" t="inlineStr">
        <is>
          <t>到達率</t>
        </is>
      </c>
    </row>
    <row r="5">
      <c r="A5" s="5" t="inlineStr">
        <is>
          <t>M1 権限が作れる</t>
        </is>
      </c>
      <c r="B5" s="5" t="inlineStr">
        <is>
          <t>顧客が自分で権限を作り、保存して再表示できる</t>
        </is>
      </c>
      <c r="C5" s="5" t="inlineStr"/>
      <c r="D5" s="5" t="inlineStr"/>
      <c r="E5" s="5">
        <f>COUNTIF($A$17:$A$56,A5)</f>
        <v/>
      </c>
      <c r="F5" s="5">
        <f>COUNTIFS($A$17:$A$56,A5,$N$17:$N$56,"OK")</f>
        <v/>
      </c>
      <c r="G5" s="5">
        <f>COUNTIFS($A$17:$A$56,A5,$N$17:$N$56,"NG")</f>
        <v/>
      </c>
      <c r="H5" s="5">
        <f>E5-F5-G5</f>
        <v/>
      </c>
      <c r="I5" s="6">
        <f>IF(E5=0,"",F5/E5)</f>
        <v/>
      </c>
    </row>
    <row r="6">
      <c r="A6" s="5" t="inlineStr">
        <is>
          <t>M2 制御が効く</t>
        </is>
      </c>
      <c r="B6" s="5" t="inlineStr">
        <is>
          <t>作った権限どおりに画面が開く／開かない。直URLも塞がる</t>
        </is>
      </c>
      <c r="C6" s="5" t="inlineStr"/>
      <c r="D6" s="5" t="inlineStr"/>
      <c r="E6" s="5">
        <f>COUNTIF($A$17:$A$56,A6)</f>
        <v/>
      </c>
      <c r="F6" s="5">
        <f>COUNTIFS($A$17:$A$56,A6,$N$17:$N$56,"OK")</f>
        <v/>
      </c>
      <c r="G6" s="5">
        <f>COUNTIFS($A$17:$A$56,A6,$N$17:$N$56,"NG")</f>
        <v/>
      </c>
      <c r="H6" s="5">
        <f>E6-F6-G6</f>
        <v/>
      </c>
      <c r="I6" s="6">
        <f>IF(E6=0,"",F6/E6)</f>
        <v/>
      </c>
    </row>
    <row r="7">
      <c r="A7" s="5" t="inlineStr">
        <is>
          <t>M3 人に配れる</t>
        </is>
      </c>
      <c r="B7" s="5" t="inlineStr">
        <is>
          <t>権限を人に割り当て、担当店舗を紐付けられる</t>
        </is>
      </c>
      <c r="C7" s="5" t="inlineStr"/>
      <c r="D7" s="5" t="inlineStr"/>
      <c r="E7" s="5">
        <f>COUNTIF($A$17:$A$56,A7)</f>
        <v/>
      </c>
      <c r="F7" s="5">
        <f>COUNTIFS($A$17:$A$56,A7,$N$17:$N$56,"OK")</f>
        <v/>
      </c>
      <c r="G7" s="5">
        <f>COUNTIFS($A$17:$A$56,A7,$N$17:$N$56,"NG")</f>
        <v/>
      </c>
      <c r="H7" s="5">
        <f>E7-F7-G7</f>
        <v/>
      </c>
      <c r="I7" s="6">
        <f>IF(E7=0,"",F7/E7)</f>
        <v/>
      </c>
    </row>
    <row r="8">
      <c r="A8" s="5" t="inlineStr">
        <is>
          <t>M4 既存顧客を壊さない</t>
        </is>
      </c>
      <c r="B8" s="5" t="inlineStr">
        <is>
          <t>現行3権限と同じ動作のプリセットが用意され、移行漏れがない</t>
        </is>
      </c>
      <c r="C8" s="5" t="inlineStr"/>
      <c r="D8" s="5" t="inlineStr"/>
      <c r="E8" s="5">
        <f>COUNTIF($A$17:$A$56,A8)</f>
        <v/>
      </c>
      <c r="F8" s="5">
        <f>COUNTIFS($A$17:$A$56,A8,$N$17:$N$56,"OK")</f>
        <v/>
      </c>
      <c r="G8" s="5">
        <f>COUNTIFS($A$17:$A$56,A8,$N$17:$N$56,"NG")</f>
        <v/>
      </c>
      <c r="H8" s="5">
        <f>E8-F8-G8</f>
        <v/>
      </c>
      <c r="I8" s="6">
        <f>IF(E8=0,"",F8/E8)</f>
        <v/>
      </c>
    </row>
    <row r="9">
      <c r="A9" s="5" t="inlineStr">
        <is>
          <t>M5 事故らない</t>
        </is>
      </c>
      <c r="B9" s="5" t="inlineStr">
        <is>
          <t>自分を締め出せない／一般権限で権限設定を触れない</t>
        </is>
      </c>
      <c r="C9" s="5" t="inlineStr"/>
      <c r="D9" s="5" t="inlineStr"/>
      <c r="E9" s="5">
        <f>COUNTIF($A$17:$A$56,A9)</f>
        <v/>
      </c>
      <c r="F9" s="5">
        <f>COUNTIFS($A$17:$A$56,A9,$N$17:$N$56,"OK")</f>
        <v/>
      </c>
      <c r="G9" s="5">
        <f>COUNTIFS($A$17:$A$56,A9,$N$17:$N$56,"NG")</f>
        <v/>
      </c>
      <c r="H9" s="5">
        <f>E9-F9-G9</f>
        <v/>
      </c>
      <c r="I9" s="6">
        <f>IF(E9=0,"",F9/E9)</f>
        <v/>
      </c>
    </row>
    <row r="10">
      <c r="A10" s="5" t="inlineStr">
        <is>
          <t>M6 運用できる</t>
        </is>
      </c>
      <c r="B10" s="5" t="inlineStr">
        <is>
          <t>設定を点検でき、指標をまとめて設定できる</t>
        </is>
      </c>
      <c r="C10" s="5" t="inlineStr"/>
      <c r="D10" s="5" t="inlineStr"/>
      <c r="E10" s="5">
        <f>COUNTIF($A$17:$A$56,A10)</f>
        <v/>
      </c>
      <c r="F10" s="5">
        <f>COUNTIFS($A$17:$A$56,A10,$N$17:$N$56,"OK")</f>
        <v/>
      </c>
      <c r="G10" s="5">
        <f>COUNTIFS($A$17:$A$56,A10,$N$17:$N$56,"NG")</f>
        <v/>
      </c>
      <c r="H10" s="5">
        <f>E10-F10-G10</f>
        <v/>
      </c>
      <c r="I10" s="6">
        <f>IF(E10=0,"",F10/E10)</f>
        <v/>
      </c>
    </row>
    <row r="11">
      <c r="A11" s="5" t="inlineStr">
        <is>
          <t>M7 境界設計が守られている</t>
        </is>
      </c>
      <c r="B11" s="5" t="inlineStr">
        <is>
          <t>動作テストで見えない設計の約束が実装で守られている</t>
        </is>
      </c>
      <c r="C11" s="5" t="inlineStr"/>
      <c r="D11" s="5" t="inlineStr"/>
      <c r="E11" s="5">
        <f>COUNTIF($A$17:$A$56,A11)</f>
        <v/>
      </c>
      <c r="F11" s="5">
        <f>COUNTIFS($A$17:$A$56,A11,$N$17:$N$56,"OK")</f>
        <v/>
      </c>
      <c r="G11" s="5">
        <f>COUNTIFS($A$17:$A$56,A11,$N$17:$N$56,"NG")</f>
        <v/>
      </c>
      <c r="H11" s="5">
        <f>E11-F11-G11</f>
        <v/>
      </c>
      <c r="I11" s="6">
        <f>IF(E11=0,"",F11/E11)</f>
        <v/>
      </c>
    </row>
    <row r="12">
      <c r="A12" s="5" t="inlineStr">
        <is>
          <t>M8 顧客価値に到達</t>
        </is>
      </c>
      <c r="B12" s="5" t="inlineStr">
        <is>
          <t>顧客が求める権限（画面単位で表現できる範囲）が実際に作れる</t>
        </is>
      </c>
      <c r="C12" s="5" t="inlineStr"/>
      <c r="D12" s="5" t="inlineStr"/>
      <c r="E12" s="5">
        <f>COUNTIF($A$17:$A$56,A12)</f>
        <v/>
      </c>
      <c r="F12" s="5">
        <f>COUNTIFS($A$17:$A$56,A12,$N$17:$N$56,"OK")</f>
        <v/>
      </c>
      <c r="G12" s="5">
        <f>COUNTIFS($A$17:$A$56,A12,$N$17:$N$56,"NG")</f>
        <v/>
      </c>
      <c r="H12" s="5">
        <f>E12-F12-G12</f>
        <v/>
      </c>
      <c r="I12" s="6">
        <f>IF(E12=0,"",F12/E12)</f>
        <v/>
      </c>
    </row>
    <row r="13">
      <c r="A13" s="5" t="inlineStr">
        <is>
          <t>M9 次段階（P1対象外）</t>
        </is>
      </c>
      <c r="B13" s="5" t="inlineStr">
        <is>
          <t>P1では実装しない。実測を記録し次の優先順位を決める</t>
        </is>
      </c>
      <c r="C13" s="5" t="inlineStr"/>
      <c r="D13" s="5" t="inlineStr"/>
      <c r="E13" s="5">
        <f>COUNTIF($A$17:$A$56,A13)</f>
        <v/>
      </c>
      <c r="F13" s="5">
        <f>COUNTIFS($A$17:$A$56,A13,$N$17:$N$56,"OK")</f>
        <v/>
      </c>
      <c r="G13" s="5">
        <f>COUNTIFS($A$17:$A$56,A13,$N$17:$N$56,"NG")</f>
        <v/>
      </c>
      <c r="H13" s="5">
        <f>E13-F13-G13</f>
        <v/>
      </c>
      <c r="I13" s="6">
        <f>IF(E13=0,"",F13/E13)</f>
        <v/>
      </c>
    </row>
    <row r="16" ht="34" customHeight="1">
      <c r="A16" s="7" t="inlineStr">
        <is>
          <t>マイルストーン</t>
        </is>
      </c>
      <c r="B16" s="7" t="inlineStr">
        <is>
          <t>マイルストーンの完了条件</t>
        </is>
      </c>
      <c r="C16" s="7" t="inlineStr">
        <is>
          <t>設計ポイント</t>
        </is>
      </c>
      <c r="D16" s="7" t="inlineStr">
        <is>
          <t>条件ID</t>
        </is>
      </c>
      <c r="E16" s="7" t="inlineStr">
        <is>
          <t>実装レベル</t>
        </is>
      </c>
      <c r="F16" s="7" t="inlineStr">
        <is>
          <t>何を実装するか</t>
        </is>
      </c>
      <c r="G16" s="7" t="inlineStr">
        <is>
          <t>合格ライン（この数値を満たせば実装完了）</t>
        </is>
      </c>
      <c r="H16" s="7" t="inlineStr">
        <is>
          <t>実装できていないと起きること</t>
        </is>
      </c>
      <c r="I16" s="7" t="inlineStr">
        <is>
          <t>実装箇所</t>
        </is>
      </c>
      <c r="J16" s="7" t="inlineStr">
        <is>
          <t>確認する画面</t>
        </is>
      </c>
      <c r="K16" s="7" t="inlineStr">
        <is>
          <t>対応検証ID</t>
        </is>
      </c>
      <c r="L16" s="7" t="inlineStr">
        <is>
          <t>仕様書の根拠</t>
        </is>
      </c>
      <c r="M16" s="7" t="inlineStr">
        <is>
          <t>エビデンス</t>
        </is>
      </c>
      <c r="N16" s="7" t="inlineStr">
        <is>
          <t>合否</t>
        </is>
      </c>
      <c r="O16" s="7" t="inlineStr">
        <is>
          <t>実測値</t>
        </is>
      </c>
      <c r="P16" s="7" t="inlineStr">
        <is>
          <t>判定者</t>
        </is>
      </c>
      <c r="Q16" s="7" t="inlineStr">
        <is>
          <t>判定日</t>
        </is>
      </c>
    </row>
    <row r="17" ht="76" customHeight="1">
      <c r="A17" s="8" t="inlineStr">
        <is>
          <t>M1 権限が作れる</t>
        </is>
      </c>
      <c r="B17" s="8" t="inlineStr">
        <is>
          <t>顧客が自分で権限を作り、保存して再表示できる</t>
        </is>
      </c>
      <c r="C17" s="8" t="inlineStr">
        <is>
          <t>A. 権限の単位と範囲</t>
        </is>
      </c>
      <c r="D17" s="8" t="inlineStr">
        <is>
          <t>AC-05</t>
        </is>
      </c>
      <c r="E17" s="8" t="inlineStr">
        <is>
          <t>MVP必須</t>
        </is>
      </c>
      <c r="F17" s="8" t="inlineStr">
        <is>
          <t>会社／店舗の区分で、設定対象の画面を出し分ける</t>
        </is>
      </c>
      <c r="G17" s="8" t="inlineStr">
        <is>
          <t>区分=会社で21カテゴリ、区分=店舗で23カテゴリが設定対象に出る</t>
        </is>
      </c>
      <c r="H17" s="8" t="inlineStr">
        <is>
          <t>会社用・店舗用の権限を別々に作れない。機能の前提が崩れる</t>
        </is>
      </c>
      <c r="I17" s="8" t="inlineStr">
        <is>
          <t>権限編集（区分の選択→権限内容）</t>
        </is>
      </c>
      <c r="J17" s="8" t="inlineStr">
        <is>
          <t>権限編集（区分の切替）</t>
        </is>
      </c>
      <c r="K17" s="8" t="inlineStr">
        <is>
          <t>T-03</t>
        </is>
      </c>
      <c r="L17" s="8" t="inlineStr">
        <is>
          <t>§3.3 カテゴリ構成</t>
        </is>
      </c>
      <c r="M17" s="8" t="inlineStr">
        <is>
          <t>T-03.png</t>
        </is>
      </c>
      <c r="N17" s="8" t="inlineStr"/>
      <c r="O17" s="8" t="inlineStr"/>
      <c r="P17" s="8" t="inlineStr"/>
      <c r="Q17" s="8" t="inlineStr"/>
    </row>
    <row r="18" ht="76" customHeight="1">
      <c r="A18" s="8" t="inlineStr">
        <is>
          <t>M1 権限が作れる</t>
        </is>
      </c>
      <c r="B18" s="8" t="inlineStr">
        <is>
          <t>顧客が自分で権限を作り、保存して再表示できる</t>
        </is>
      </c>
      <c r="C18" s="8" t="inlineStr">
        <is>
          <t>A. 権限の単位と範囲</t>
        </is>
      </c>
      <c r="D18" s="8" t="inlineStr">
        <is>
          <t>AC-06</t>
        </is>
      </c>
      <c r="E18" s="8" t="inlineStr">
        <is>
          <t>品質必須</t>
        </is>
      </c>
      <c r="F18" s="8" t="inlineStr">
        <is>
          <t>区分に該当しない画面を設定対象に出さない</t>
        </is>
      </c>
      <c r="G18" s="8" t="inlineStr">
        <is>
          <t>会社で店舗専用6が出ない、店舗で会社専用4が出ない</t>
        </is>
      </c>
      <c r="H18" s="8" t="inlineStr">
        <is>
          <t>会社の権限に店舗専用画面が出るなど、設定時に誤った選択肢を選べてしまう</t>
        </is>
      </c>
      <c r="I18" s="8" t="inlineStr">
        <is>
          <t>権限編集（カテゴリの ctx 判定）</t>
        </is>
      </c>
      <c r="J18" s="8" t="inlineStr">
        <is>
          <t>権限編集（権限内容）</t>
        </is>
      </c>
      <c r="K18" s="8" t="inlineStr">
        <is>
          <t>T-03</t>
        </is>
      </c>
      <c r="L18" s="8" t="inlineStr">
        <is>
          <t>§3.3</t>
        </is>
      </c>
      <c r="M18" s="8" t="inlineStr">
        <is>
          <t>T-03.png</t>
        </is>
      </c>
      <c r="N18" s="8" t="inlineStr"/>
      <c r="O18" s="8" t="inlineStr"/>
      <c r="P18" s="8" t="inlineStr"/>
      <c r="Q18" s="8" t="inlineStr"/>
    </row>
    <row r="19" ht="76" customHeight="1">
      <c r="A19" s="8" t="inlineStr">
        <is>
          <t>M1 権限が作れる</t>
        </is>
      </c>
      <c r="B19" s="8" t="inlineStr">
        <is>
          <t>顧客が自分で権限を作り、保存して再表示できる</t>
        </is>
      </c>
      <c r="C19" s="8" t="inlineStr">
        <is>
          <t>B. 権限をつくる</t>
        </is>
      </c>
      <c r="D19" s="8" t="inlineStr">
        <is>
          <t>AC-07</t>
        </is>
      </c>
      <c r="E19" s="8" t="inlineStr">
        <is>
          <t>MVP必須</t>
        </is>
      </c>
      <c r="F19" s="8" t="inlineStr">
        <is>
          <t>権限の作成・保存・再表示が往復して壊れない</t>
        </is>
      </c>
      <c r="G19" s="8" t="inlineStr">
        <is>
          <t>保存→再表示で欠落・反転=0件</t>
        </is>
      </c>
      <c r="H19" s="8" t="inlineStr">
        <is>
          <t>設定した権限が保存されない。機能として成立しない</t>
        </is>
      </c>
      <c r="I19" s="8" t="inlineStr">
        <is>
          <t>権限編集／roles・role_permissions</t>
        </is>
      </c>
      <c r="J19" s="8" t="inlineStr">
        <is>
          <t>権限編集（保存→再表示）</t>
        </is>
      </c>
      <c r="K19" s="8" t="inlineStr">
        <is>
          <t>S-04</t>
        </is>
      </c>
      <c r="L19" s="8" t="inlineStr">
        <is>
          <t>§5.2 権限編集</t>
        </is>
      </c>
      <c r="M19" s="8" t="inlineStr">
        <is>
          <t>S-04.png</t>
        </is>
      </c>
      <c r="N19" s="8" t="inlineStr"/>
      <c r="O19" s="8" t="inlineStr"/>
      <c r="P19" s="8" t="inlineStr"/>
      <c r="Q19" s="8" t="inlineStr"/>
    </row>
    <row r="20" ht="76" customHeight="1">
      <c r="A20" s="8" t="inlineStr">
        <is>
          <t>M1 権限が作れる</t>
        </is>
      </c>
      <c r="B20" s="8" t="inlineStr">
        <is>
          <t>顧客が自分で権限を作り、保存して再表示できる</t>
        </is>
      </c>
      <c r="C20" s="8" t="inlineStr">
        <is>
          <t>B. 権限をつくる</t>
        </is>
      </c>
      <c r="D20" s="8" t="inlineStr">
        <is>
          <t>AC-08</t>
        </is>
      </c>
      <c r="E20" s="8" t="inlineStr">
        <is>
          <t>MVP必須</t>
        </is>
      </c>
      <c r="F20" s="8" t="inlineStr">
        <is>
          <t>雛形（ベース）から差分で作れる。移植プリセットを候補に出す</t>
        </is>
      </c>
      <c r="G20" s="8" t="inlineStr">
        <is>
          <t>ベース選択に4種（オーナー相当/本部管理/店長/従業員）＋**まっさら（なし）**が出る。エリア長は含まれない</t>
        </is>
      </c>
      <c r="H20" s="8" t="inlineStr">
        <is>
          <t>27画面をゼロから設定することになり、実運用が回らない</t>
        </is>
      </c>
      <c r="I20" s="8" t="inlineStr">
        <is>
          <t>権限編集①ベース選択</t>
        </is>
      </c>
      <c r="J20" s="8" t="inlineStr">
        <is>
          <t>権限編集（＋権限を新規作成）</t>
        </is>
      </c>
      <c r="K20" s="8" t="inlineStr">
        <is>
          <t>T-01</t>
        </is>
      </c>
      <c r="L20" s="8" t="inlineStr">
        <is>
          <t>§5.2 / §7-H' エリア長を既定テンプレートにしない（2026-08-04）</t>
        </is>
      </c>
      <c r="M20" s="8" t="inlineStr">
        <is>
          <t>T-01.png</t>
        </is>
      </c>
      <c r="N20" s="8" t="inlineStr"/>
      <c r="O20" s="8" t="inlineStr"/>
      <c r="P20" s="8" t="inlineStr"/>
      <c r="Q20" s="8" t="inlineStr"/>
    </row>
    <row r="21" ht="76" customHeight="1">
      <c r="A21" s="8" t="inlineStr">
        <is>
          <t>M1 権限が作れる</t>
        </is>
      </c>
      <c r="B21" s="8" t="inlineStr">
        <is>
          <t>顧客が自分で権限を作り、保存して再表示できる</t>
        </is>
      </c>
      <c r="C21" s="8" t="inlineStr">
        <is>
          <t>B. 権限をつくる</t>
        </is>
      </c>
      <c r="D21" s="8" t="inlineStr">
        <is>
          <t>AC-09</t>
        </is>
      </c>
      <c r="E21" s="8" t="inlineStr">
        <is>
          <t>品質必須</t>
        </is>
      </c>
      <c r="F21" s="8" t="inlineStr">
        <is>
          <t>ゼロから作る場合は全項目オフで始まる</t>
        </is>
      </c>
      <c r="G21" s="8" t="inlineStr">
        <is>
          <t>**まっさら（なし）**を選んだとき許可=0件</t>
        </is>
      </c>
      <c r="H21" s="8" t="inlineStr">
        <is>
          <t>意図せず開いた状態の権限ができる</t>
        </is>
      </c>
      <c r="I21" s="8" t="inlineStr">
        <is>
          <t>権限編集（まっさら（なし））</t>
        </is>
      </c>
      <c r="J21" s="8" t="inlineStr">
        <is>
          <t>権限編集（まっさら（なし）選択時）</t>
        </is>
      </c>
      <c r="K21" s="8" t="inlineStr">
        <is>
          <t>T-02</t>
        </is>
      </c>
      <c r="L21" s="8" t="inlineStr">
        <is>
          <t>§5.2</t>
        </is>
      </c>
      <c r="M21" s="8" t="inlineStr">
        <is>
          <t>T-02.png</t>
        </is>
      </c>
      <c r="N21" s="8" t="inlineStr"/>
      <c r="O21" s="8" t="inlineStr"/>
      <c r="P21" s="8" t="inlineStr"/>
      <c r="Q21" s="8" t="inlineStr"/>
    </row>
    <row r="22" ht="76" customHeight="1">
      <c r="A22" s="8" t="inlineStr">
        <is>
          <t>M1 権限が作れる</t>
        </is>
      </c>
      <c r="B22" s="8" t="inlineStr">
        <is>
          <t>顧客が自分で権限を作り、保存して再表示できる</t>
        </is>
      </c>
      <c r="C22" s="8" t="inlineStr">
        <is>
          <t>A. 権限の単位と範囲</t>
        </is>
      </c>
      <c r="D22" s="8" t="inlineStr">
        <is>
          <t>AC-12</t>
        </is>
      </c>
      <c r="E22" s="8" t="inlineStr">
        <is>
          <t>品質必須</t>
        </is>
      </c>
      <c r="F22" s="8" t="inlineStr">
        <is>
          <t>権限が未定義の画面は既定で塞ぐ（fail-closed）</t>
        </is>
      </c>
      <c r="G22" s="8" t="inlineStr">
        <is>
          <t>新規追加した画面が全ロールで「なし」＝例外0件。**コード上の既定値も T-24 の棚卸しで確認する**</t>
        </is>
      </c>
      <c r="H22" s="8" t="inlineStr">
        <is>
          <t>画面が増えるたびに全員が黙って見られるようになる。顧客は増えたことに気づけず、閲覧範囲が意図せず広がる</t>
        </is>
      </c>
      <c r="I22" s="8" t="inlineStr">
        <is>
          <t>判定層の既定値</t>
        </is>
      </c>
      <c r="J22" s="8" t="inlineStr">
        <is>
          <t>権限編集</t>
        </is>
      </c>
      <c r="K22" s="8" t="inlineStr">
        <is>
          <t>T-02 T-24</t>
        </is>
      </c>
      <c r="L22" s="8" t="inlineStr">
        <is>
          <t>§9 fail-closed</t>
        </is>
      </c>
      <c r="M22" s="8" t="inlineStr">
        <is>
          <t>T-02.png</t>
        </is>
      </c>
      <c r="N22" s="8" t="inlineStr"/>
      <c r="O22" s="8" t="inlineStr"/>
      <c r="P22" s="8" t="inlineStr"/>
      <c r="Q22" s="8" t="inlineStr"/>
    </row>
    <row r="23" ht="76" customHeight="1">
      <c r="A23" s="8" t="inlineStr">
        <is>
          <t>M1 権限が作れる</t>
        </is>
      </c>
      <c r="B23" s="8" t="inlineStr">
        <is>
          <t>顧客が自分で権限を作り、保存して再表示できる</t>
        </is>
      </c>
      <c r="C23" s="8" t="inlineStr">
        <is>
          <t>B. 権限をつくる</t>
        </is>
      </c>
      <c r="D23" s="8" t="inlineStr">
        <is>
          <t>AC-33</t>
        </is>
      </c>
      <c r="E23" s="8" t="inlineStr">
        <is>
          <t>MVP必須</t>
        </is>
      </c>
      <c r="F23" s="8" t="inlineStr">
        <is>
          <t>導入時に推奨権限をまとめて登録できる（下書きの保存・破棄を含む）</t>
        </is>
      </c>
      <c r="G23" s="8" t="inlineStr">
        <is>
          <t>権限テンプレートの適用で推奨4権限が権限一覧に登録される＝4件。一時保存→再訪で選択状態が一致、破棄で既定に戻る</t>
        </is>
      </c>
      <c r="H23" s="8" t="inlineStr">
        <is>
          <t>導入時に権限を用意できず、導入作業そのものが始められない</t>
        </is>
      </c>
      <c r="I23" s="8" t="inlineStr">
        <is>
          <t>権限テンプレート画面</t>
        </is>
      </c>
      <c r="J23" s="8" t="inlineStr">
        <is>
          <t>権限テンプレート</t>
        </is>
      </c>
      <c r="K23" s="8" t="inlineStr">
        <is>
          <t>T-04</t>
        </is>
      </c>
      <c r="L23" s="8" t="inlineStr">
        <is>
          <t>§5.6 F-01 F-02 F-25</t>
        </is>
      </c>
      <c r="M23" s="8" t="inlineStr">
        <is>
          <t>T-04.png</t>
        </is>
      </c>
      <c r="N23" s="8" t="inlineStr"/>
      <c r="O23" s="8" t="inlineStr"/>
      <c r="P23" s="8" t="inlineStr"/>
      <c r="Q23" s="8" t="inlineStr"/>
    </row>
    <row r="24" ht="76" customHeight="1">
      <c r="A24" s="8" t="inlineStr">
        <is>
          <t>M2 制御が効く</t>
        </is>
      </c>
      <c r="B24" s="8" t="inlineStr">
        <is>
          <t>作った権限どおりに画面が開く／開かない。直URLも塞がる</t>
        </is>
      </c>
      <c r="C24" s="8" t="inlineStr">
        <is>
          <t>D. 制御が実際に効く</t>
        </is>
      </c>
      <c r="D24" s="8" t="inlineStr">
        <is>
          <t>AC-10</t>
        </is>
      </c>
      <c r="E24" s="8" t="inlineStr">
        <is>
          <t>MVP必須</t>
        </is>
      </c>
      <c r="F24" s="8" t="inlineStr">
        <is>
          <t>許可した画面が開ける</t>
        </is>
      </c>
      <c r="G24" s="8" t="inlineStr">
        <is>
          <t>見えるべき画面=100%開ける</t>
        </is>
      </c>
      <c r="H24" s="8" t="inlineStr">
        <is>
          <t>必要な画面が開けず現場の業務が止まる</t>
        </is>
      </c>
      <c r="I24" s="8" t="inlineStr">
        <is>
          <t>各画面の表示判定</t>
        </is>
      </c>
      <c r="J24" s="8" t="inlineStr">
        <is>
          <t>全画面（各権限でログイン）</t>
        </is>
      </c>
      <c r="K24" s="8" t="inlineStr">
        <is>
          <t>T-09〜T-14</t>
        </is>
      </c>
      <c r="L24" s="8" t="inlineStr">
        <is>
          <t>§3.1 ①画面</t>
        </is>
      </c>
      <c r="M24" s="8" t="inlineStr">
        <is>
          <t>T-09.png</t>
        </is>
      </c>
      <c r="N24" s="8" t="inlineStr"/>
      <c r="O24" s="8" t="inlineStr"/>
      <c r="P24" s="8" t="inlineStr"/>
      <c r="Q24" s="8" t="inlineStr"/>
    </row>
    <row r="25" ht="76" customHeight="1">
      <c r="A25" s="8" t="inlineStr">
        <is>
          <t>M2 制御が効く</t>
        </is>
      </c>
      <c r="B25" s="8" t="inlineStr">
        <is>
          <t>作った権限どおりに画面が開く／開かない。直URLも塞がる</t>
        </is>
      </c>
      <c r="C25" s="8" t="inlineStr">
        <is>
          <t>D. 制御が実際に効く</t>
        </is>
      </c>
      <c r="D25" s="8" t="inlineStr">
        <is>
          <t>AC-11</t>
        </is>
      </c>
      <c r="E25" s="8" t="inlineStr">
        <is>
          <t>MVP必須</t>
        </is>
      </c>
      <c r="F25" s="8" t="inlineStr">
        <is>
          <t>許可していない画面が開けない。メニュー非表示だけでなく直URLも塞ぐ</t>
        </is>
      </c>
      <c r="G25" s="8" t="inlineStr">
        <is>
          <t>メニュー非表示かつ直URLでも開けない=100%。**ダッシュボードは閲覧固定（権限設定の対象外）のため除く**</t>
        </is>
      </c>
      <c r="H25" s="8" t="inlineStr">
        <is>
          <t>見せてはいけない画面が見える＝情報漏洩</t>
        </is>
      </c>
      <c r="I25" s="8" t="inlineStr">
        <is>
          <t>コントローラの認可（メニュー生成だけでは不可）</t>
        </is>
      </c>
      <c r="J25" s="8" t="inlineStr">
        <is>
          <t>全画面（直URLを含む）</t>
        </is>
      </c>
      <c r="K25" s="8" t="inlineStr">
        <is>
          <t>T-09〜T-14</t>
        </is>
      </c>
      <c r="L25" s="8" t="inlineStr">
        <is>
          <t>§9 誤って通す</t>
        </is>
      </c>
      <c r="M25" s="8" t="inlineStr">
        <is>
          <t>T-09.png</t>
        </is>
      </c>
      <c r="N25" s="8" t="inlineStr"/>
      <c r="O25" s="8" t="inlineStr"/>
      <c r="P25" s="8" t="inlineStr"/>
      <c r="Q25" s="8" t="inlineStr"/>
    </row>
    <row r="26" ht="76" customHeight="1">
      <c r="A26" s="8" t="inlineStr">
        <is>
          <t>M2 制御が効く</t>
        </is>
      </c>
      <c r="B26" s="8" t="inlineStr">
        <is>
          <t>作った権限どおりに画面が開く／開かない。直URLも塞がる</t>
        </is>
      </c>
      <c r="C26" s="8" t="inlineStr">
        <is>
          <t>D. 制御が実際に効く</t>
        </is>
      </c>
      <c r="D26" s="8" t="inlineStr">
        <is>
          <t>AC-13</t>
        </is>
      </c>
      <c r="E26" s="8" t="inlineStr">
        <is>
          <t>MVP必須</t>
        </is>
      </c>
      <c r="F26" s="8" t="inlineStr">
        <is>
          <t>権限を最小にしてもログインでき、ランディングに着地する</t>
        </is>
      </c>
      <c r="G26" s="8" t="inlineStr">
        <is>
          <t>全項目オフのロールでログインでき、開ける画面＝1（ダッシュボードのみ）。空白・エラー・ループ0件。**ダッシュボードは閲覧固定で「なし」に設定できない前提**</t>
        </is>
      </c>
      <c r="H26" s="8" t="inlineStr">
        <is>
          <t>権限を絞ると使えなくなる＝絞る運用そのものができない</t>
        </is>
      </c>
      <c r="I26" s="8" t="inlineStr">
        <is>
          <t>ダッシュボード＝閲覧固定</t>
        </is>
      </c>
      <c r="J26" s="8" t="inlineStr">
        <is>
          <t>ダッシュボード</t>
        </is>
      </c>
      <c r="K26" s="8" t="inlineStr">
        <is>
          <t>T-14</t>
        </is>
      </c>
      <c r="L26" s="8" t="inlineStr">
        <is>
          <t>§9 誤って塞ぐ</t>
        </is>
      </c>
      <c r="M26" s="8" t="inlineStr">
        <is>
          <t>T-14.png</t>
        </is>
      </c>
      <c r="N26" s="8" t="inlineStr"/>
      <c r="O26" s="8" t="inlineStr"/>
      <c r="P26" s="8" t="inlineStr"/>
      <c r="Q26" s="8" t="inlineStr"/>
    </row>
    <row r="27" ht="76" customHeight="1">
      <c r="A27" s="8" t="inlineStr">
        <is>
          <t>M2 制御が効く</t>
        </is>
      </c>
      <c r="B27" s="8" t="inlineStr">
        <is>
          <t>作った権限どおりに画面が開く／開かない。直URLも塞がる</t>
        </is>
      </c>
      <c r="C27" s="8" t="inlineStr">
        <is>
          <t>D. 制御が実際に効く</t>
        </is>
      </c>
      <c r="D27" s="8" t="inlineStr">
        <is>
          <t>AC-21</t>
        </is>
      </c>
      <c r="E27" s="8" t="inlineStr">
        <is>
          <t>MVP必須</t>
        </is>
      </c>
      <c r="F27" s="8" t="inlineStr">
        <is>
          <t>設定変更が反映される（即時または再ログイン）</t>
        </is>
      </c>
      <c r="G27" s="8" t="inlineStr">
        <is>
          <t>設定変更後、対象ユーザーの次の画面遷移または再ログインで反映される。無反映＝0件（どちらの方式かは記録する）</t>
        </is>
      </c>
      <c r="H27" s="8" t="inlineStr">
        <is>
          <t>権限を変更しても効かない</t>
        </is>
      </c>
      <c r="I27" s="8" t="inlineStr">
        <is>
          <t>権限のキャッシュ・セッション</t>
        </is>
      </c>
      <c r="J27" s="8" t="inlineStr">
        <is>
          <t>全画面（変更後に遷移）</t>
        </is>
      </c>
      <c r="K27" s="8" t="inlineStr">
        <is>
          <t>T-08</t>
        </is>
      </c>
      <c r="L27" s="8" t="inlineStr">
        <is>
          <t>§8-6</t>
        </is>
      </c>
      <c r="M27" s="8" t="inlineStr">
        <is>
          <t>T-08.png</t>
        </is>
      </c>
      <c r="N27" s="8" t="inlineStr"/>
      <c r="O27" s="8" t="inlineStr"/>
      <c r="P27" s="8" t="inlineStr"/>
      <c r="Q27" s="8" t="inlineStr"/>
    </row>
    <row r="28" ht="76" customHeight="1">
      <c r="A28" s="8" t="inlineStr">
        <is>
          <t>M3 人に配れる</t>
        </is>
      </c>
      <c r="B28" s="8" t="inlineStr">
        <is>
          <t>権限を人に割り当て、担当店舗を紐付けられる</t>
        </is>
      </c>
      <c r="C28" s="8" t="inlineStr">
        <is>
          <t>C. 権限を人に適用する</t>
        </is>
      </c>
      <c r="D28" s="8" t="inlineStr">
        <is>
          <t>AC-04</t>
        </is>
      </c>
      <c r="E28" s="8" t="inlineStr">
        <is>
          <t>MVP必須</t>
        </is>
      </c>
      <c r="F28" s="8" t="inlineStr">
        <is>
          <t>既存の全管理者に権限が割り当たる（移行漏れ0）</t>
        </is>
      </c>
      <c r="G28" s="8" t="inlineStr">
        <is>
          <t>ロール未割当=0名</t>
        </is>
      </c>
      <c r="H28" s="8" t="inlineStr">
        <is>
          <t>権限が付いていない管理者はログインしても何も見えない</t>
        </is>
      </c>
      <c r="I28" s="8" t="inlineStr">
        <is>
          <t>移行処理</t>
        </is>
      </c>
      <c r="J28" s="8" t="inlineStr">
        <is>
          <t>ユーザー割当</t>
        </is>
      </c>
      <c r="K28" s="8" t="inlineStr">
        <is>
          <t>T-18 T-21</t>
        </is>
      </c>
      <c r="L28" s="8" t="inlineStr">
        <is>
          <t>§4</t>
        </is>
      </c>
      <c r="M28" s="8" t="inlineStr">
        <is>
          <t>ユーザー割当一覧のスクショ（未割当0名）</t>
        </is>
      </c>
      <c r="N28" s="8" t="inlineStr"/>
      <c r="O28" s="8" t="inlineStr"/>
      <c r="P28" s="8" t="inlineStr"/>
      <c r="Q28" s="8" t="inlineStr"/>
    </row>
    <row r="29" ht="76" customHeight="1">
      <c r="A29" s="8" t="inlineStr">
        <is>
          <t>M3 人に配れる</t>
        </is>
      </c>
      <c r="B29" s="8" t="inlineStr">
        <is>
          <t>権限を人に割り当て、担当店舗を紐付けられる</t>
        </is>
      </c>
      <c r="C29" s="8" t="inlineStr">
        <is>
          <t>C. 権限を人に適用する</t>
        </is>
      </c>
      <c r="D29" s="8" t="inlineStr">
        <is>
          <t>AC-14</t>
        </is>
      </c>
      <c r="E29" s="8" t="inlineStr">
        <is>
          <t>MVP必須</t>
        </is>
      </c>
      <c r="F29" s="8" t="inlineStr">
        <is>
          <t>1人1ロール。付け替えで前の権限が確実に外れる</t>
        </is>
      </c>
      <c r="G29" s="8" t="inlineStr">
        <is>
          <t>割当編集で同時に選べる権限=1つ。付け替えで前の権限の画面=0件</t>
        </is>
      </c>
      <c r="H29" s="8" t="inlineStr">
        <is>
          <t>前の権限が残り、想定外の画面が見えたままになる</t>
        </is>
      </c>
      <c r="I29" s="8" t="inlineStr">
        <is>
          <t>割当編集／user_roles</t>
        </is>
      </c>
      <c r="J29" s="8" t="inlineStr">
        <is>
          <t>割当編集</t>
        </is>
      </c>
      <c r="K29" s="8" t="inlineStr">
        <is>
          <t>S-05 T-15</t>
        </is>
      </c>
      <c r="L29" s="8" t="inlineStr">
        <is>
          <t>§3.5 / §7-H 1人1ロール（2026-08-03・暫定）</t>
        </is>
      </c>
      <c r="M29" s="8" t="inlineStr">
        <is>
          <t>S-05.png</t>
        </is>
      </c>
      <c r="N29" s="8" t="inlineStr"/>
      <c r="O29" s="8" t="inlineStr"/>
      <c r="P29" s="8" t="inlineStr"/>
      <c r="Q29" s="8" t="inlineStr"/>
    </row>
    <row r="30" ht="76" customHeight="1">
      <c r="A30" s="8" t="inlineStr">
        <is>
          <t>M3 人に配れる</t>
        </is>
      </c>
      <c r="B30" s="8" t="inlineStr">
        <is>
          <t>権限を人に割り当て、担当店舗を紐付けられる</t>
        </is>
      </c>
      <c r="C30" s="8" t="inlineStr">
        <is>
          <t>C. 権限を人に適用する</t>
        </is>
      </c>
      <c r="D30" s="8" t="inlineStr">
        <is>
          <t>AC-15</t>
        </is>
      </c>
      <c r="E30" s="8" t="inlineStr">
        <is>
          <t>品質必須</t>
        </is>
      </c>
      <c r="F30" s="8" t="inlineStr">
        <is>
          <t>付け替えで既存権限が置き換わることを事前に明示する</t>
        </is>
      </c>
      <c r="G30" s="8" t="inlineStr">
        <is>
          <t>登録済み/置換予告が該当行に表示=100%</t>
        </is>
      </c>
      <c r="H30" s="8" t="inlineStr">
        <is>
          <t>付け替えで意図せず権限を剥奪してしまう</t>
        </is>
      </c>
      <c r="I30" s="8" t="inlineStr">
        <is>
          <t>割当編集／一括割当のUI</t>
        </is>
      </c>
      <c r="J30" s="8" t="inlineStr">
        <is>
          <t>割当編集／一括割当</t>
        </is>
      </c>
      <c r="K30" s="8" t="inlineStr">
        <is>
          <t>T-15 T-16</t>
        </is>
      </c>
      <c r="L30" s="8" t="inlineStr">
        <is>
          <t>§5.4 事故防止3点</t>
        </is>
      </c>
      <c r="M30" s="8" t="inlineStr">
        <is>
          <t>T-15.png</t>
        </is>
      </c>
      <c r="N30" s="8" t="inlineStr"/>
      <c r="O30" s="8" t="inlineStr"/>
      <c r="P30" s="8" t="inlineStr"/>
      <c r="Q30" s="8" t="inlineStr"/>
    </row>
    <row r="31" ht="76" customHeight="1">
      <c r="A31" s="8" t="inlineStr">
        <is>
          <t>M3 人に配れる</t>
        </is>
      </c>
      <c r="B31" s="8" t="inlineStr">
        <is>
          <t>権限を人に割り当て、担当店舗を紐付けられる</t>
        </is>
      </c>
      <c r="C31" s="8" t="inlineStr">
        <is>
          <t>C. 権限を人に適用する</t>
        </is>
      </c>
      <c r="D31" s="8" t="inlineStr">
        <is>
          <t>AC-16</t>
        </is>
      </c>
      <c r="E31" s="8" t="inlineStr">
        <is>
          <t>MVP必須</t>
        </is>
      </c>
      <c r="F31" s="8" t="inlineStr">
        <is>
          <t>担当店舗を複数紐付けられる（人ごとに異なる範囲）</t>
        </is>
      </c>
      <c r="G31" s="8" t="inlineStr">
        <is>
          <t>店長ベースで作った権限に2店舗を紐付けて保存できる</t>
        </is>
      </c>
      <c r="H31" s="8" t="inlineStr">
        <is>
          <t>エリアマネージャーなど複数店舗を担当する権限が作れない</t>
        </is>
      </c>
      <c r="I31" s="8" t="inlineStr">
        <is>
          <t>割当編集（store_ids）</t>
        </is>
      </c>
      <c r="J31" s="8" t="inlineStr">
        <is>
          <t>割当編集（対象店舗）</t>
        </is>
      </c>
      <c r="K31" s="8" t="inlineStr">
        <is>
          <t>S-05 T-11</t>
        </is>
      </c>
      <c r="L31" s="8" t="inlineStr">
        <is>
          <t>§3.1④ / §7-B 担当店舗は割当側にのみ持たせる</t>
        </is>
      </c>
      <c r="M31" s="8" t="inlineStr">
        <is>
          <t>S-05.png</t>
        </is>
      </c>
      <c r="N31" s="8" t="inlineStr"/>
      <c r="O31" s="8" t="inlineStr"/>
      <c r="P31" s="8" t="inlineStr"/>
      <c r="Q31" s="8" t="inlineStr"/>
    </row>
    <row r="32" ht="76" customHeight="1">
      <c r="A32" s="8" t="inlineStr">
        <is>
          <t>M3 人に配れる</t>
        </is>
      </c>
      <c r="B32" s="8" t="inlineStr">
        <is>
          <t>権限を人に割り当て、担当店舗を紐付けられる</t>
        </is>
      </c>
      <c r="C32" s="8" t="inlineStr">
        <is>
          <t>C. 権限を人に適用する</t>
        </is>
      </c>
      <c r="D32" s="8" t="inlineStr">
        <is>
          <t>AC-19</t>
        </is>
      </c>
      <c r="E32" s="8" t="inlineStr">
        <is>
          <t>品質必須</t>
        </is>
      </c>
      <c r="F32" s="8" t="inlineStr">
        <is>
          <t>店舗ロールで担当店舗が未設定の割当を検知する</t>
        </is>
      </c>
      <c r="G32" s="8" t="inlineStr">
        <is>
          <t>担当店舗0件のまま保存できない、または警告が出る。無警告のまま保存できる＝0件</t>
        </is>
      </c>
      <c r="H32" s="8" t="inlineStr">
        <is>
          <t>担当店舗が未設定のまま割り当てられ、何も見えない人ができる</t>
        </is>
      </c>
      <c r="I32" s="8" t="inlineStr">
        <is>
          <t>割当編集のバリデーション</t>
        </is>
      </c>
      <c r="J32" s="8" t="inlineStr">
        <is>
          <t>割当編集</t>
        </is>
      </c>
      <c r="K32" s="8" t="inlineStr">
        <is>
          <t>T-18</t>
        </is>
      </c>
      <c r="L32" s="8" t="inlineStr">
        <is>
          <t>§5.4</t>
        </is>
      </c>
      <c r="M32" s="8" t="inlineStr">
        <is>
          <t>T-18.png</t>
        </is>
      </c>
      <c r="N32" s="8" t="inlineStr"/>
      <c r="O32" s="8" t="inlineStr"/>
      <c r="P32" s="8" t="inlineStr"/>
      <c r="Q32" s="8" t="inlineStr"/>
    </row>
    <row r="33" ht="76" customHeight="1">
      <c r="A33" s="8" t="inlineStr">
        <is>
          <t>M4 既存顧客を壊さない</t>
        </is>
      </c>
      <c r="B33" s="8" t="inlineStr">
        <is>
          <t>現行3権限と同じ動作のプリセットが用意され、移行漏れがない</t>
        </is>
      </c>
      <c r="C33" s="8" t="inlineStr">
        <is>
          <t>E. 現行からの移植</t>
        </is>
      </c>
      <c r="D33" s="8" t="inlineStr">
        <is>
          <t>AC-01</t>
        </is>
      </c>
      <c r="E33" s="8" t="inlineStr">
        <is>
          <t>MVP必須</t>
        </is>
      </c>
      <c r="F33" s="8" t="inlineStr">
        <is>
          <t>master と同じ動作をするプリセットを用意する</t>
        </is>
      </c>
      <c r="G33" s="8" t="inlineStr">
        <is>
          <t>適用前後で見える画面の増減=0</t>
        </is>
      </c>
      <c r="H33" s="8" t="inlineStr">
        <is>
          <t>既存の master 権限で見える画面が増減する。増えれば情報漏洩、減れば業務停止</t>
        </is>
      </c>
      <c r="I33" s="8" t="inlineStr">
        <is>
          <t>移植プリセット</t>
        </is>
      </c>
      <c r="J33" s="8" t="inlineStr">
        <is>
          <t>全画面（master でログイン）</t>
        </is>
      </c>
      <c r="K33" s="8" t="inlineStr">
        <is>
          <t>S-06 T-21</t>
        </is>
      </c>
      <c r="L33" s="8" t="inlineStr">
        <is>
          <t>§4 段階導入</t>
        </is>
      </c>
      <c r="M33" s="8" t="inlineStr">
        <is>
          <t>適用前後の全メニュー スクショ2枚</t>
        </is>
      </c>
      <c r="N33" s="8" t="inlineStr"/>
      <c r="O33" s="8" t="inlineStr"/>
      <c r="P33" s="8" t="inlineStr"/>
      <c r="Q33" s="8" t="inlineStr"/>
    </row>
    <row r="34" ht="76" customHeight="1">
      <c r="A34" s="8" t="inlineStr">
        <is>
          <t>M4 既存顧客を壊さない</t>
        </is>
      </c>
      <c r="B34" s="8" t="inlineStr">
        <is>
          <t>現行3権限と同じ動作のプリセットが用意され、移行漏れがない</t>
        </is>
      </c>
      <c r="C34" s="8" t="inlineStr">
        <is>
          <t>E. 現行からの移植</t>
        </is>
      </c>
      <c r="D34" s="8" t="inlineStr">
        <is>
          <t>AC-02</t>
        </is>
      </c>
      <c r="E34" s="8" t="inlineStr">
        <is>
          <t>MVP必須</t>
        </is>
      </c>
      <c r="F34" s="8" t="inlineStr">
        <is>
          <t>manager と同じ動作をするプリセットを用意する</t>
        </is>
      </c>
      <c r="G34" s="8" t="inlineStr">
        <is>
          <t>増減=0</t>
        </is>
      </c>
      <c r="H34" s="8" t="inlineStr">
        <is>
          <t>既存の manager 権限で見える画面が増減する</t>
        </is>
      </c>
      <c r="I34" s="8" t="inlineStr">
        <is>
          <t>移植プリセット</t>
        </is>
      </c>
      <c r="J34" s="8" t="inlineStr">
        <is>
          <t>全画面（manager でログイン）</t>
        </is>
      </c>
      <c r="K34" s="8" t="inlineStr">
        <is>
          <t>S-06 T-21</t>
        </is>
      </c>
      <c r="L34" s="8" t="inlineStr">
        <is>
          <t>§4</t>
        </is>
      </c>
      <c r="M34" s="8" t="inlineStr">
        <is>
          <t>適用前後の全メニュー スクショ2枚</t>
        </is>
      </c>
      <c r="N34" s="8" t="inlineStr"/>
      <c r="O34" s="8" t="inlineStr"/>
      <c r="P34" s="8" t="inlineStr"/>
      <c r="Q34" s="8" t="inlineStr"/>
    </row>
    <row r="35" ht="76" customHeight="1">
      <c r="A35" s="8" t="inlineStr">
        <is>
          <t>M4 既存顧客を壊さない</t>
        </is>
      </c>
      <c r="B35" s="8" t="inlineStr">
        <is>
          <t>現行3権限と同じ動作のプリセットが用意され、移行漏れがない</t>
        </is>
      </c>
      <c r="C35" s="8" t="inlineStr">
        <is>
          <t>E. 現行からの移植</t>
        </is>
      </c>
      <c r="D35" s="8" t="inlineStr">
        <is>
          <t>AC-03</t>
        </is>
      </c>
      <c r="E35" s="8" t="inlineStr">
        <is>
          <t>MVP必須</t>
        </is>
      </c>
      <c r="F35" s="8" t="inlineStr">
        <is>
          <t>shop_manager と同じ動作をするプリセットを用意する</t>
        </is>
      </c>
      <c r="G35" s="8" t="inlineStr">
        <is>
          <t>増減=0</t>
        </is>
      </c>
      <c r="H35" s="8" t="inlineStr">
        <is>
          <t>既存の shop_manager 権限で見える画面が増減する</t>
        </is>
      </c>
      <c r="I35" s="8" t="inlineStr">
        <is>
          <t>移植プリセット</t>
        </is>
      </c>
      <c r="J35" s="8" t="inlineStr">
        <is>
          <t>全画面（shop_manager でログイン）</t>
        </is>
      </c>
      <c r="K35" s="8" t="inlineStr">
        <is>
          <t>S-06 T-21</t>
        </is>
      </c>
      <c r="L35" s="8" t="inlineStr">
        <is>
          <t>§4</t>
        </is>
      </c>
      <c r="M35" s="8" t="inlineStr">
        <is>
          <t>適用前後の全メニュー スクショ2枚</t>
        </is>
      </c>
      <c r="N35" s="8" t="inlineStr"/>
      <c r="O35" s="8" t="inlineStr"/>
      <c r="P35" s="8" t="inlineStr"/>
      <c r="Q35" s="8" t="inlineStr"/>
    </row>
    <row r="36" ht="76" customHeight="1">
      <c r="A36" s="8" t="inlineStr">
        <is>
          <t>M5 事故らない</t>
        </is>
      </c>
      <c r="B36" s="8" t="inlineStr">
        <is>
          <t>自分を締め出せない／一般権限で権限設定を触れない</t>
        </is>
      </c>
      <c r="C36" s="8" t="inlineStr">
        <is>
          <t>F. 事故を防ぐ</t>
        </is>
      </c>
      <c r="D36" s="8" t="inlineStr">
        <is>
          <t>AC-17</t>
        </is>
      </c>
      <c r="E36" s="8" t="inlineStr">
        <is>
          <t>MVP必須</t>
        </is>
      </c>
      <c r="F36" s="8" t="inlineStr">
        <is>
          <t>自分の権限から権限設定を外せない（自己ロックアウト防止）</t>
        </is>
      </c>
      <c r="G36" s="8" t="inlineStr">
        <is>
          <t>権限設定を自ロールから外す操作でブロックまたは警告が出る。無警告で保存できる＝0件</t>
        </is>
      </c>
      <c r="H36" s="8" t="inlineStr">
        <is>
          <t>管理者が自分を締め出し、復旧に開発対応が必要になる</t>
        </is>
      </c>
      <c r="I36" s="8" t="inlineStr">
        <is>
          <t>権限編集の保存時チェック</t>
        </is>
      </c>
      <c r="J36" s="8" t="inlineStr">
        <is>
          <t>権限編集</t>
        </is>
      </c>
      <c r="K36" s="8" t="inlineStr">
        <is>
          <t>T-17</t>
        </is>
      </c>
      <c r="L36" s="8" t="inlineStr">
        <is>
          <t>§9 自己ロックアウト</t>
        </is>
      </c>
      <c r="M36" s="8" t="inlineStr">
        <is>
          <t>T-17.png</t>
        </is>
      </c>
      <c r="N36" s="8" t="inlineStr"/>
      <c r="O36" s="8" t="inlineStr"/>
      <c r="P36" s="8" t="inlineStr"/>
      <c r="Q36" s="8" t="inlineStr"/>
    </row>
    <row r="37" ht="76" customHeight="1">
      <c r="A37" s="8" t="inlineStr">
        <is>
          <t>M5 事故らない</t>
        </is>
      </c>
      <c r="B37" s="8" t="inlineStr">
        <is>
          <t>自分を締め出せない／一般権限で権限設定を触れない</t>
        </is>
      </c>
      <c r="C37" s="8" t="inlineStr">
        <is>
          <t>F. 事故を防ぐ</t>
        </is>
      </c>
      <c r="D37" s="8" t="inlineStr">
        <is>
          <t>AC-18</t>
        </is>
      </c>
      <c r="E37" s="8" t="inlineStr">
        <is>
          <t>MVP必須</t>
        </is>
      </c>
      <c r="F37" s="8" t="inlineStr">
        <is>
          <t>一般の権限で権限設定ページを開けない</t>
        </is>
      </c>
      <c r="G37" s="8" t="inlineStr">
        <is>
          <t>店舗ロールで権限設定URL=ブロック</t>
        </is>
      </c>
      <c r="H37" s="8" t="inlineStr">
        <is>
          <t>一般の権限で権限設定を書き換えられる＝権限機能全体が無意味になる</t>
        </is>
      </c>
      <c r="I37" s="8" t="inlineStr">
        <is>
          <t>権限設定画面の認可</t>
        </is>
      </c>
      <c r="J37" s="8" t="inlineStr">
        <is>
          <t>権限設定（直URL）</t>
        </is>
      </c>
      <c r="K37" s="8" t="inlineStr">
        <is>
          <t>T-17</t>
        </is>
      </c>
      <c r="L37" s="8" t="inlineStr">
        <is>
          <t>§9</t>
        </is>
      </c>
      <c r="M37" s="8" t="inlineStr">
        <is>
          <t>T-17.png</t>
        </is>
      </c>
      <c r="N37" s="8" t="inlineStr"/>
      <c r="O37" s="8" t="inlineStr"/>
      <c r="P37" s="8" t="inlineStr"/>
      <c r="Q37" s="8" t="inlineStr"/>
    </row>
    <row r="38" ht="76" customHeight="1">
      <c r="A38" s="8" t="inlineStr">
        <is>
          <t>M6 運用できる</t>
        </is>
      </c>
      <c r="B38" s="8" t="inlineStr">
        <is>
          <t>設定を点検でき、指標をまとめて設定できる</t>
        </is>
      </c>
      <c r="C38" s="8" t="inlineStr">
        <is>
          <t>G. 設定を点検できる</t>
        </is>
      </c>
      <c r="D38" s="8" t="inlineStr">
        <is>
          <t>AC-20</t>
        </is>
      </c>
      <c r="E38" s="8" t="inlineStr">
        <is>
          <t>品質必須</t>
        </is>
      </c>
      <c r="F38" s="8" t="inlineStr">
        <is>
          <t>一覧の許可数が実際の設定と一致する</t>
        </is>
      </c>
      <c r="G38" s="8" t="inlineStr">
        <is>
          <t>不一致=0件（dataset/08 の**7権限すべて**）</t>
        </is>
      </c>
      <c r="H38" s="8" t="inlineStr">
        <is>
          <t>一覧の表示と実際の設定がズレ、確認を誤る</t>
        </is>
      </c>
      <c r="I38" s="8" t="inlineStr">
        <is>
          <t>権限一覧の集計</t>
        </is>
      </c>
      <c r="J38" s="8" t="inlineStr">
        <is>
          <t>権限一覧</t>
        </is>
      </c>
      <c r="K38" s="8" t="inlineStr">
        <is>
          <t>T-05</t>
        </is>
      </c>
      <c r="L38" s="8" t="inlineStr">
        <is>
          <t>§5.3 権限一覧</t>
        </is>
      </c>
      <c r="M38" s="8" t="inlineStr">
        <is>
          <t>T-05.png</t>
        </is>
      </c>
      <c r="N38" s="8" t="inlineStr"/>
      <c r="O38" s="8" t="inlineStr"/>
      <c r="P38" s="8" t="inlineStr"/>
      <c r="Q38" s="8" t="inlineStr"/>
    </row>
    <row r="39" ht="76" customHeight="1">
      <c r="A39" s="8" t="inlineStr">
        <is>
          <t>M6 運用できる</t>
        </is>
      </c>
      <c r="B39" s="8" t="inlineStr">
        <is>
          <t>設定を点検でき、指標をまとめて設定できる</t>
        </is>
      </c>
      <c r="C39" s="8" t="inlineStr">
        <is>
          <t>G. 設定を点検できる</t>
        </is>
      </c>
      <c r="D39" s="8" t="inlineStr">
        <is>
          <t>AC-27</t>
        </is>
      </c>
      <c r="E39" s="8" t="inlineStr">
        <is>
          <t>品質必須</t>
        </is>
      </c>
      <c r="F39" s="8" t="inlineStr">
        <is>
          <t>権限編集はどの入口から入っても元の画面に戻る</t>
        </is>
      </c>
      <c r="G39" s="8" t="inlineStr">
        <is>
          <t>4入口すべてで来た元に戻る（一覧/セルクリック/役割サマリ/割当編集）</t>
        </is>
      </c>
      <c r="H39" s="8" t="inlineStr">
        <is>
          <t>修正のたびに元の場所へ辿り直すことになり、点検作業が重くなる</t>
        </is>
      </c>
      <c r="I39" s="8" t="inlineStr">
        <is>
          <t>遷移の origin 保持</t>
        </is>
      </c>
      <c r="J39" s="8" t="inlineStr">
        <is>
          <t>権限編集（4入口）</t>
        </is>
      </c>
      <c r="K39" s="8" t="inlineStr">
        <is>
          <t>T-07</t>
        </is>
      </c>
      <c r="L39" s="8" t="inlineStr">
        <is>
          <t>§5.6 F-06〜F-09</t>
        </is>
      </c>
      <c r="M39" s="8" t="inlineStr">
        <is>
          <t>T-07.png</t>
        </is>
      </c>
      <c r="N39" s="8" t="inlineStr"/>
      <c r="O39" s="8" t="inlineStr"/>
      <c r="P39" s="8" t="inlineStr"/>
      <c r="Q39" s="8" t="inlineStr"/>
    </row>
    <row r="40" ht="76" customHeight="1">
      <c r="A40" s="8" t="inlineStr">
        <is>
          <t>M6 運用できる</t>
        </is>
      </c>
      <c r="B40" s="8" t="inlineStr">
        <is>
          <t>設定を点検でき、指標をまとめて設定できる</t>
        </is>
      </c>
      <c r="C40" s="8" t="inlineStr">
        <is>
          <t>G. 設定を点検できる</t>
        </is>
      </c>
      <c r="D40" s="8" t="inlineStr">
        <is>
          <t>AC-28</t>
        </is>
      </c>
      <c r="E40" s="8" t="inlineStr">
        <is>
          <t>品質必須</t>
        </is>
      </c>
      <c r="F40" s="8" t="inlineStr">
        <is>
          <t>役割サマリの割当人数が実態と一致する</t>
        </is>
      </c>
      <c r="G40" s="8" t="inlineStr">
        <is>
          <t>**7権限すべてで** 表示N＝実保持者数（差分0）</t>
        </is>
      </c>
      <c r="H40" s="8" t="inlineStr">
        <is>
          <t>割当人数の表示が実態とズレ、点検の判断を誤る</t>
        </is>
      </c>
      <c r="I40" s="8" t="inlineStr">
        <is>
          <t>役割サマリの集計</t>
        </is>
      </c>
      <c r="J40" s="8" t="inlineStr">
        <is>
          <t>役割サマリ</t>
        </is>
      </c>
      <c r="K40" s="8" t="inlineStr">
        <is>
          <t>T-06</t>
        </is>
      </c>
      <c r="L40" s="8" t="inlineStr">
        <is>
          <t>§5.4 役割サマリ</t>
        </is>
      </c>
      <c r="M40" s="8" t="inlineStr">
        <is>
          <t>T-06.png</t>
        </is>
      </c>
      <c r="N40" s="8" t="inlineStr"/>
      <c r="O40" s="8" t="inlineStr"/>
      <c r="P40" s="8" t="inlineStr"/>
      <c r="Q40" s="8" t="inlineStr"/>
    </row>
    <row r="41" ht="76" customHeight="1">
      <c r="A41" s="8" t="inlineStr">
        <is>
          <t>M6 運用できる</t>
        </is>
      </c>
      <c r="B41" s="8" t="inlineStr">
        <is>
          <t>設定を点検でき、指標をまとめて設定できる</t>
        </is>
      </c>
      <c r="C41" s="8" t="inlineStr">
        <is>
          <t>H. 指標とオーナー</t>
        </is>
      </c>
      <c r="D41" s="8" t="inlineStr">
        <is>
          <t>AC-29</t>
        </is>
      </c>
      <c r="E41" s="8" t="inlineStr">
        <is>
          <t>品質必須</t>
        </is>
      </c>
      <c r="F41" s="8" t="inlineStr">
        <is>
          <t>指標をまとめて設定でき、他の権限に再利用できる</t>
        </is>
      </c>
      <c r="G41" s="8" t="inlineStr">
        <is>
          <t>テンプレ適用の結果が定義と一致。保存した組み合わせを他権限で読込できる</t>
        </is>
      </c>
      <c r="H41" s="8" t="inlineStr">
        <is>
          <t>権限ごとに指標を作り直すことになり運用負荷が高い</t>
        </is>
      </c>
      <c r="I41" s="8" t="inlineStr">
        <is>
          <t>指標条件設定／マイテンプレート</t>
        </is>
      </c>
      <c r="J41" s="8" t="inlineStr">
        <is>
          <t>指標条件設定／マイテンプレート</t>
        </is>
      </c>
      <c r="K41" s="8" t="inlineStr">
        <is>
          <t>T-20</t>
        </is>
      </c>
      <c r="L41" s="8" t="inlineStr">
        <is>
          <t>§5.5</t>
        </is>
      </c>
      <c r="M41" s="8" t="inlineStr">
        <is>
          <t>T-20.png</t>
        </is>
      </c>
      <c r="N41" s="8" t="inlineStr"/>
      <c r="O41" s="8" t="inlineStr"/>
      <c r="P41" s="8" t="inlineStr"/>
      <c r="Q41" s="8" t="inlineStr"/>
    </row>
    <row r="42" ht="76" customHeight="1">
      <c r="A42" s="8" t="inlineStr">
        <is>
          <t>M6 運用できる</t>
        </is>
      </c>
      <c r="B42" s="8" t="inlineStr">
        <is>
          <t>設定を点検でき、指標をまとめて設定できる</t>
        </is>
      </c>
      <c r="C42" s="8" t="inlineStr">
        <is>
          <t>H. 指標とオーナー</t>
        </is>
      </c>
      <c r="D42" s="8" t="inlineStr">
        <is>
          <t>AC-30</t>
        </is>
      </c>
      <c r="E42" s="8" t="inlineStr">
        <is>
          <t>品質必須</t>
        </is>
      </c>
      <c r="F42" s="8" t="inlineStr">
        <is>
          <t>オーナー専用機能が読取専用・オーナー限定である</t>
        </is>
      </c>
      <c r="G42" s="8" t="inlineStr">
        <is>
          <t>指標管理に編集UI（トグル／コピー／条件設定）が表示される＝0件。オーナー以外が付与先指定を実行できる＝0件</t>
        </is>
      </c>
      <c r="H42" s="8" t="inlineStr">
        <is>
          <t>全権の設定が誤って変更される</t>
        </is>
      </c>
      <c r="I42" s="8" t="inlineStr">
        <is>
          <t>オーナー操作</t>
        </is>
      </c>
      <c r="J42" s="8" t="inlineStr">
        <is>
          <t>オーナー操作</t>
        </is>
      </c>
      <c r="K42" s="8" t="inlineStr">
        <is>
          <t>T-20</t>
        </is>
      </c>
      <c r="L42" s="8" t="inlineStr">
        <is>
          <t>§5.3 オーナー操作</t>
        </is>
      </c>
      <c r="M42" s="8" t="inlineStr">
        <is>
          <t>T-20.png</t>
        </is>
      </c>
      <c r="N42" s="8" t="inlineStr"/>
      <c r="O42" s="8" t="inlineStr"/>
      <c r="P42" s="8" t="inlineStr"/>
      <c r="Q42" s="8" t="inlineStr"/>
    </row>
    <row r="43" ht="76" customHeight="1">
      <c r="A43" s="8" t="inlineStr">
        <is>
          <t>M6 運用できる</t>
        </is>
      </c>
      <c r="B43" s="8" t="inlineStr">
        <is>
          <t>設定を点検でき、指標をまとめて設定できる</t>
        </is>
      </c>
      <c r="C43" s="8" t="inlineStr">
        <is>
          <t>G. 設定を点検できる</t>
        </is>
      </c>
      <c r="D43" s="8" t="inlineStr">
        <is>
          <t>AC-31</t>
        </is>
      </c>
      <c r="E43" s="8" t="inlineStr">
        <is>
          <t>推奨</t>
        </is>
      </c>
      <c r="F43" s="8" t="inlineStr">
        <is>
          <t>一覧の表示絞り込みが次回も保持される</t>
        </is>
      </c>
      <c r="G43" s="8" t="inlineStr">
        <is>
          <t>画面を離れて戻ったとき、列選択が離脱前と一致（スコープ別に保持）</t>
        </is>
      </c>
      <c r="H43" s="8" t="inlineStr">
        <is>
          <t>点検のたびに表示条件を選び直すことになる（利便性）</t>
        </is>
      </c>
      <c r="I43" s="8" t="inlineStr">
        <is>
          <t>localStorage</t>
        </is>
      </c>
      <c r="J43" s="8" t="inlineStr">
        <is>
          <t>権限一覧</t>
        </is>
      </c>
      <c r="K43" s="8" t="inlineStr">
        <is>
          <t>T-05</t>
        </is>
      </c>
      <c r="L43" s="8" t="inlineStr">
        <is>
          <t>§5.3</t>
        </is>
      </c>
      <c r="M43" s="8" t="inlineStr">
        <is>
          <t>T-05.png</t>
        </is>
      </c>
      <c r="N43" s="8" t="inlineStr"/>
      <c r="O43" s="8" t="inlineStr"/>
      <c r="P43" s="8" t="inlineStr"/>
      <c r="Q43" s="8" t="inlineStr"/>
    </row>
    <row r="44" ht="76" customHeight="1">
      <c r="A44" s="8" t="inlineStr">
        <is>
          <t>M7 境界設計が守られている</t>
        </is>
      </c>
      <c r="B44" s="8" t="inlineStr">
        <is>
          <t>動作テストで見えない設計の約束が実装で守られている</t>
        </is>
      </c>
      <c r="C44" s="8" t="inlineStr">
        <is>
          <t>K. 境界設計を守る（動作テストでは検出できない）</t>
        </is>
      </c>
      <c r="D44" s="8" t="inlineStr">
        <is>
          <t>K-01</t>
        </is>
      </c>
      <c r="E44" s="8" t="inlineStr">
        <is>
          <t>MVP必須</t>
        </is>
      </c>
      <c r="F44" s="8" t="inlineStr">
        <is>
          <t>権限はロール経由でのみ付与する（人に直接付けない）</t>
        </is>
      </c>
      <c r="G44" s="8" t="inlineStr">
        <is>
          <t>ユーザー個別に権限内容を編集できるUI・APIが存在しない＝0件</t>
        </is>
      </c>
      <c r="H44" s="8" t="inlineStr">
        <is>
          <t>人ごとに権限を作り込めてしまい、従業員数だけ設定が増殖して誰が何を見えるか把握できなくなる</t>
        </is>
      </c>
      <c r="I44" s="8" t="inlineStr">
        <is>
          <t>割当はロールの選択のみ。role_permissions はユーザーに紐付けない</t>
        </is>
      </c>
      <c r="J44" s="8" t="inlineStr">
        <is>
          <t>ユーザー割当／割当編集</t>
        </is>
      </c>
      <c r="K44" s="8" t="inlineStr">
        <is>
          <t>T-24</t>
        </is>
      </c>
      <c r="L44" s="8" t="inlineStr">
        <is>
          <t>§7-A 権限はロール経由で与える（人に直接付けない）</t>
        </is>
      </c>
      <c r="M44" s="8" t="inlineStr">
        <is>
          <t>設計レビュー記録</t>
        </is>
      </c>
      <c r="N44" s="8" t="inlineStr"/>
      <c r="O44" s="8" t="inlineStr"/>
      <c r="P44" s="8" t="inlineStr"/>
      <c r="Q44" s="8" t="inlineStr"/>
    </row>
    <row r="45" ht="76" customHeight="1">
      <c r="A45" s="8" t="inlineStr">
        <is>
          <t>M7 境界設計が守られている</t>
        </is>
      </c>
      <c r="B45" s="8" t="inlineStr">
        <is>
          <t>動作テストで見えない設計の約束が実装で守られている</t>
        </is>
      </c>
      <c r="C45" s="8" t="inlineStr">
        <is>
          <t>K. 境界設計を守る（動作テストでは検出できない）</t>
        </is>
      </c>
      <c r="D45" s="8" t="inlineStr">
        <is>
          <t>K-02</t>
        </is>
      </c>
      <c r="E45" s="8" t="inlineStr">
        <is>
          <t>MVP必須</t>
        </is>
      </c>
      <c r="F45" s="8" t="inlineStr">
        <is>
          <t>区分とデータ範囲を独立した軸として実装する</t>
        </is>
      </c>
      <c r="G45" s="8" t="inlineStr">
        <is>
          <t>店舗ロールでも担当店舗を全店・複数店に設定できる＝**上限の制約がない**。※下限は AC-19 のとおり1件以上が必須（0件は保存不可）</t>
        </is>
      </c>
      <c r="H45" s="8" t="inlineStr">
        <is>
          <t>「店舗ロール＝自店舗のみ」と固定され、エリアマネージャーや複数店舗所属が表現できない</t>
        </is>
      </c>
      <c r="I45" s="8" t="inlineStr">
        <is>
          <t>user_roles.store_ids は区分と独立。区分でstore_idsを制限しない</t>
        </is>
      </c>
      <c r="J45" s="8" t="inlineStr">
        <is>
          <t>割当編集（対象店舗）</t>
        </is>
      </c>
      <c r="K45" s="8" t="inlineStr">
        <is>
          <t>T-24</t>
        </is>
      </c>
      <c r="L45" s="8" t="inlineStr">
        <is>
          <t>§7-C 区分とデータ範囲は独立した別軸</t>
        </is>
      </c>
      <c r="M45" s="8" t="inlineStr">
        <is>
          <t>設計レビュー記録</t>
        </is>
      </c>
      <c r="N45" s="8" t="inlineStr"/>
      <c r="O45" s="8" t="inlineStr"/>
      <c r="P45" s="8" t="inlineStr"/>
      <c r="Q45" s="8" t="inlineStr"/>
    </row>
    <row r="46" ht="76" customHeight="1">
      <c r="A46" s="8" t="inlineStr">
        <is>
          <t>M7 境界設計が守られている</t>
        </is>
      </c>
      <c r="B46" s="8" t="inlineStr">
        <is>
          <t>動作テストで見えない設計の約束が実装で守られている</t>
        </is>
      </c>
      <c r="C46" s="8" t="inlineStr">
        <is>
          <t>K. 境界設計を守る（動作テストでは検出できない）</t>
        </is>
      </c>
      <c r="D46" s="8" t="inlineStr">
        <is>
          <t>K-03</t>
        </is>
      </c>
      <c r="E46" s="8" t="inlineStr">
        <is>
          <t>MVP必須</t>
        </is>
      </c>
      <c r="F46" s="8" t="inlineStr">
        <is>
          <t>操作は登録・編集・削除を一体で扱う</t>
        </is>
      </c>
      <c r="G46" s="8" t="inlineStr">
        <is>
          <t>権限の状態が なし／閲覧／操作 の3つ＝4つ目が存在しない</t>
        </is>
      </c>
      <c r="H46" s="8" t="inlineStr">
        <is>
          <t>4状態に戻ると設定コストが跳ね上がり、顧客が使いこなせない</t>
        </is>
      </c>
      <c r="I46" s="8" t="inlineStr">
        <is>
          <t>role_permissions.level は 0/1/2 のみ。削除専用フラグを作らない</t>
        </is>
      </c>
      <c r="J46" s="8" t="inlineStr">
        <is>
          <t>権限編集（権限内容）</t>
        </is>
      </c>
      <c r="K46" s="8" t="inlineStr">
        <is>
          <t>T-24</t>
        </is>
      </c>
      <c r="L46" s="8" t="inlineStr">
        <is>
          <t>§7-D 操作＝登録・編集・削除を一体（削除を分けない） / §3.2</t>
        </is>
      </c>
      <c r="M46" s="8" t="inlineStr">
        <is>
          <t>設計レビュー記録</t>
        </is>
      </c>
      <c r="N46" s="8" t="inlineStr"/>
      <c r="O46" s="8" t="inlineStr"/>
      <c r="P46" s="8" t="inlineStr"/>
      <c r="Q46" s="8" t="inlineStr"/>
    </row>
    <row r="47" ht="76" customHeight="1">
      <c r="A47" s="8" t="inlineStr">
        <is>
          <t>M7 境界設計が守られている</t>
        </is>
      </c>
      <c r="B47" s="8" t="inlineStr">
        <is>
          <t>動作テストで見えない設計の約束が実装で守られている</t>
        </is>
      </c>
      <c r="C47" s="8" t="inlineStr">
        <is>
          <t>K. 境界設計を守る（動作テストでは検出できない）</t>
        </is>
      </c>
      <c r="D47" s="8" t="inlineStr">
        <is>
          <t>K-04</t>
        </is>
      </c>
      <c r="E47" s="8" t="inlineStr">
        <is>
          <t>MVP必須</t>
        </is>
      </c>
      <c r="F47" s="8" t="inlineStr">
        <is>
          <t>機密ランクを画面に出さない</t>
        </is>
      </c>
      <c r="G47" s="8" t="inlineStr">
        <is>
          <t>指標一覧・指標条件設定に機密度のバッジ・ラベルが表示されない＝0件</t>
        </is>
      </c>
      <c r="H47" s="8" t="inlineStr">
        <is>
          <t>顧客が指標を選ぶたびにランクの妥当性を判断させることになる</t>
        </is>
      </c>
      <c r="I47" s="8" t="inlineStr">
        <is>
          <t>sens は初期値の算出にのみ使用。UIに描画しない</t>
        </is>
      </c>
      <c r="J47" s="8" t="inlineStr">
        <is>
          <t>指標一覧／指標条件設定</t>
        </is>
      </c>
      <c r="K47" s="8" t="inlineStr">
        <is>
          <t>T-24</t>
        </is>
      </c>
      <c r="L47" s="8" t="inlineStr">
        <is>
          <t>§7-E 機密ランクを画面に出さない</t>
        </is>
      </c>
      <c r="M47" s="8" t="inlineStr">
        <is>
          <t>設計レビュー記録</t>
        </is>
      </c>
      <c r="N47" s="8" t="inlineStr"/>
      <c r="O47" s="8" t="inlineStr"/>
      <c r="P47" s="8" t="inlineStr"/>
      <c r="Q47" s="8" t="inlineStr"/>
    </row>
    <row r="48" ht="76" customHeight="1">
      <c r="A48" s="8" t="inlineStr">
        <is>
          <t>M7 境界設計が守られている</t>
        </is>
      </c>
      <c r="B48" s="8" t="inlineStr">
        <is>
          <t>動作テストで見えない設計の約束が実装で守られている</t>
        </is>
      </c>
      <c r="C48" s="8" t="inlineStr">
        <is>
          <t>K. 境界設計を守る（動作テストでは検出できない）</t>
        </is>
      </c>
      <c r="D48" s="8" t="inlineStr">
        <is>
          <t>K-05</t>
        </is>
      </c>
      <c r="E48" s="8" t="inlineStr">
        <is>
          <t>MVP必須</t>
        </is>
      </c>
      <c r="F48" s="8" t="inlineStr">
        <is>
          <t>会社指標を店舗ロールに付与できる（禁止しない）</t>
        </is>
      </c>
      <c r="G48" s="8" t="inlineStr">
        <is>
          <t>店舗ロールの指標一覧で会社指標をONにできる（ハードブロック＝0件）。初期状態のON件数は 従業員=会社0／店長=会社8</t>
        </is>
      </c>
      <c r="H48" s="8" t="inlineStr">
        <is>
          <t>ハードブロックすると「店長にも全社利益を見せたい」という顧客の運用方針を否定する</t>
        </is>
      </c>
      <c r="I48" s="8" t="inlineStr">
        <is>
          <t>既定OFF＋管理者オプトイン。行スコープ遮断とは独立</t>
        </is>
      </c>
      <c r="J48" s="8" t="inlineStr">
        <is>
          <t>指標一覧（会社タブ）</t>
        </is>
      </c>
      <c r="K48" s="8" t="inlineStr">
        <is>
          <t>T-24</t>
        </is>
      </c>
      <c r="L48" s="8" t="inlineStr">
        <is>
          <t>§7-F 会社指標を店舗ロールに出すことを禁止しない</t>
        </is>
      </c>
      <c r="M48" s="8" t="inlineStr">
        <is>
          <t>設計レビュー記録</t>
        </is>
      </c>
      <c r="N48" s="8" t="inlineStr"/>
      <c r="O48" s="8" t="inlineStr"/>
      <c r="P48" s="8" t="inlineStr"/>
      <c r="Q48" s="8" t="inlineStr"/>
    </row>
    <row r="49" ht="76" customHeight="1">
      <c r="A49" s="8" t="inlineStr">
        <is>
          <t>M7 境界設計が守られている</t>
        </is>
      </c>
      <c r="B49" s="8" t="inlineStr">
        <is>
          <t>動作テストで見えない設計の約束が実装で守られている</t>
        </is>
      </c>
      <c r="C49" s="8" t="inlineStr">
        <is>
          <t>K. 境界設計を守る（動作テストでは検出できない）</t>
        </is>
      </c>
      <c r="D49" s="8" t="inlineStr">
        <is>
          <t>K-06</t>
        </is>
      </c>
      <c r="E49" s="8" t="inlineStr">
        <is>
          <t>MVP必須</t>
        </is>
      </c>
      <c r="F49" s="8" t="inlineStr">
        <is>
          <t>「含める」チェックを店舗選択と統合しない</t>
        </is>
      </c>
      <c r="G49" s="8" t="inlineStr">
        <is>
          <t>一括割当で店舗を選んだだけでは権限が付与されない</t>
        </is>
      </c>
      <c r="H49" s="8" t="inlineStr">
        <is>
          <t>誤クリックがそのまま権限付与になり、意図しない人に権限が渡る</t>
        </is>
      </c>
      <c r="I49" s="8" t="inlineStr">
        <is>
          <t>含めるチェックを明示の安全装置として残す</t>
        </is>
      </c>
      <c r="J49" s="8" t="inlineStr">
        <is>
          <t>一括割当</t>
        </is>
      </c>
      <c r="K49" s="8" t="inlineStr">
        <is>
          <t>T-24</t>
        </is>
      </c>
      <c r="L49" s="8" t="inlineStr">
        <is>
          <t>§7-G 「含める」チェックを店舗選択と統合しない</t>
        </is>
      </c>
      <c r="M49" s="8" t="inlineStr">
        <is>
          <t>設計レビュー記録</t>
        </is>
      </c>
      <c r="N49" s="8" t="inlineStr"/>
      <c r="O49" s="8" t="inlineStr"/>
      <c r="P49" s="8" t="inlineStr"/>
      <c r="Q49" s="8" t="inlineStr"/>
    </row>
    <row r="50" ht="76" customHeight="1">
      <c r="A50" s="8" t="inlineStr">
        <is>
          <t>M8 顧客価値に到達</t>
        </is>
      </c>
      <c r="B50" s="8" t="inlineStr">
        <is>
          <t>顧客が求める権限（画面単位で表現できる範囲）が実際に作れる</t>
        </is>
      </c>
      <c r="C50" s="8" t="inlineStr">
        <is>
          <t>I. 顧客価値に到達しているか</t>
        </is>
      </c>
      <c r="D50" s="8" t="inlineStr">
        <is>
          <t>AC-22</t>
        </is>
      </c>
      <c r="E50" s="8" t="inlineStr">
        <is>
          <t>MVP必須</t>
        </is>
      </c>
      <c r="F50" s="8" t="inlineStr">
        <is>
          <t>画面単位で表現できる4シナリオの権限が作れる</t>
        </is>
      </c>
      <c r="G50" s="8" t="inlineStr">
        <is>
          <t>SC-01a経理（会社）／SC-01b経理（店舗）／SC-02人事／SC-04バイトL／SC-06スタッフ の5件で ×（作れない）＝0件。△は過不足の内容を必ず記録</t>
        </is>
      </c>
      <c r="H50" s="8" t="inlineStr">
        <is>
          <t>顧客が求める権限を作れない＝リリースする意味がない</t>
        </is>
      </c>
      <c r="I50" s="8" t="inlineStr">
        <is>
          <t>（総合判定）</t>
        </is>
      </c>
      <c r="J50" s="8" t="inlineStr">
        <is>
          <t>全画面（6シナリオ）</t>
        </is>
      </c>
      <c r="K50" s="8" t="inlineStr">
        <is>
          <t>T-22</t>
        </is>
      </c>
      <c r="L50" s="8" t="inlineStr">
        <is>
          <t>§1.2 顧客要望</t>
        </is>
      </c>
      <c r="M50" s="8" t="inlineStr">
        <is>
          <t>6シナリオの判定表</t>
        </is>
      </c>
      <c r="N50" s="8" t="inlineStr"/>
      <c r="O50" s="8" t="inlineStr"/>
      <c r="P50" s="8" t="inlineStr"/>
      <c r="Q50" s="8" t="inlineStr"/>
    </row>
    <row r="51" ht="76" customHeight="1">
      <c r="A51" s="8" t="inlineStr">
        <is>
          <t>M9 次段階（P1対象外）</t>
        </is>
      </c>
      <c r="B51" s="8" t="inlineStr">
        <is>
          <t>P1では実装しない。実測を記録し次の優先順位を決める</t>
        </is>
      </c>
      <c r="C51" s="8" t="inlineStr">
        <is>
          <t>J. 次段階（P1では実装しない）</t>
        </is>
      </c>
      <c r="D51" s="8" t="inlineStr">
        <is>
          <t>AC-23</t>
        </is>
      </c>
      <c r="E51" s="8" t="inlineStr">
        <is>
          <t>次段階</t>
        </is>
      </c>
      <c r="F51" s="8" t="inlineStr">
        <is>
          <t>担当外店舗のデータを返さない</t>
        </is>
      </c>
      <c r="G51" s="8" t="inlineStr">
        <is>
          <t>他店データ=0件。2店舗合計=表示合計</t>
        </is>
      </c>
      <c r="H51" s="8" t="inlineStr">
        <is>
          <t>担当外店舗のデータが混ざる。P3（データ範囲の強制）の要否判断に使う</t>
        </is>
      </c>
      <c r="I51" s="8" t="inlineStr">
        <is>
          <t>P3 行スコープ強制</t>
        </is>
      </c>
      <c r="J51" s="8" t="inlineStr">
        <is>
          <t>集計／売上分析</t>
        </is>
      </c>
      <c r="K51" s="8" t="inlineStr">
        <is>
          <t>T-11 T-23</t>
        </is>
      </c>
      <c r="L51" s="8" t="inlineStr">
        <is>
          <t>§3.1 ④ / §8-6</t>
        </is>
      </c>
      <c r="M51" s="8" t="inlineStr">
        <is>
          <t>T-11.png</t>
        </is>
      </c>
      <c r="N51" s="8" t="inlineStr"/>
      <c r="O51" s="8" t="inlineStr"/>
      <c r="P51" s="8" t="inlineStr"/>
      <c r="Q51" s="8" t="inlineStr"/>
    </row>
    <row r="52" ht="76" customHeight="1">
      <c r="A52" s="8" t="inlineStr">
        <is>
          <t>M9 次段階（P1対象外）</t>
        </is>
      </c>
      <c r="B52" s="8" t="inlineStr">
        <is>
          <t>P1では実装しない。実測を記録し次の優先順位を決める</t>
        </is>
      </c>
      <c r="C52" s="8" t="inlineStr">
        <is>
          <t>J. 次段階（P1では実装しない）</t>
        </is>
      </c>
      <c r="D52" s="8" t="inlineStr">
        <is>
          <t>AC-24</t>
        </is>
      </c>
      <c r="E52" s="8" t="inlineStr">
        <is>
          <t>次段階</t>
        </is>
      </c>
      <c r="F52" s="8" t="inlineStr">
        <is>
          <t>閲覧のみの権限で更新できない</t>
        </is>
      </c>
      <c r="G52" s="8" t="inlineStr">
        <is>
          <t>保存・登録・削除=不可（値が変わらない）</t>
        </is>
      </c>
      <c r="H52" s="8" t="inlineStr">
        <is>
          <t>閲覧のみの権限で更新できてしまう。P2の要否判断に使う</t>
        </is>
      </c>
      <c r="I52" s="8" t="inlineStr">
        <is>
          <t>P2 操作判定</t>
        </is>
      </c>
      <c r="J52" s="8" t="inlineStr">
        <is>
          <t>費用設定／従業員管理</t>
        </is>
      </c>
      <c r="K52" s="8" t="inlineStr">
        <is>
          <t>T-23</t>
        </is>
      </c>
      <c r="L52" s="8" t="inlineStr">
        <is>
          <t>§3.1 ② / §8-6</t>
        </is>
      </c>
      <c r="M52" s="8" t="inlineStr">
        <is>
          <t>T-23.png</t>
        </is>
      </c>
      <c r="N52" s="8" t="inlineStr"/>
      <c r="O52" s="8" t="inlineStr"/>
      <c r="P52" s="8" t="inlineStr"/>
      <c r="Q52" s="8" t="inlineStr"/>
    </row>
    <row r="53" ht="76" customHeight="1">
      <c r="A53" s="8" t="inlineStr">
        <is>
          <t>M9 次段階（P1対象外）</t>
        </is>
      </c>
      <c r="B53" s="8" t="inlineStr">
        <is>
          <t>P1では実装しない。実測を記録し次の優先順位を決める</t>
        </is>
      </c>
      <c r="C53" s="8" t="inlineStr">
        <is>
          <t>J. 次段階（P1では実装しない）</t>
        </is>
      </c>
      <c r="D53" s="8" t="inlineStr">
        <is>
          <t>AC-25</t>
        </is>
      </c>
      <c r="E53" s="8" t="inlineStr">
        <is>
          <t>次段階</t>
        </is>
      </c>
      <c r="F53" s="8" t="inlineStr">
        <is>
          <t>許可していない指標を表示しない</t>
        </is>
      </c>
      <c r="G53" s="8" t="inlineStr">
        <is>
          <t>ダッシュボード・分析画面に非許可指標=0件</t>
        </is>
      </c>
      <c r="H53" s="8" t="inlineStr">
        <is>
          <t>許可外の指標が表示される。P4の要否判断に使う</t>
        </is>
      </c>
      <c r="I53" s="8" t="inlineStr">
        <is>
          <t>P4 指標可視性</t>
        </is>
      </c>
      <c r="J53" s="8" t="inlineStr">
        <is>
          <t>ダッシュボード／分析画面</t>
        </is>
      </c>
      <c r="K53" s="8" t="inlineStr">
        <is>
          <t>T-19 T-23</t>
        </is>
      </c>
      <c r="L53" s="8" t="inlineStr">
        <is>
          <t>§3.1 ③ / §5.5</t>
        </is>
      </c>
      <c r="M53" s="8" t="inlineStr">
        <is>
          <t>T-19.png</t>
        </is>
      </c>
      <c r="N53" s="8" t="inlineStr"/>
      <c r="O53" s="8" t="inlineStr"/>
      <c r="P53" s="8" t="inlineStr"/>
      <c r="Q53" s="8" t="inlineStr"/>
    </row>
    <row r="54" ht="76" customHeight="1">
      <c r="A54" s="8" t="inlineStr">
        <is>
          <t>M9 次段階（P1対象外）</t>
        </is>
      </c>
      <c r="B54" s="8" t="inlineStr">
        <is>
          <t>P1では実装しない。実測を記録し次の優先順位を決める</t>
        </is>
      </c>
      <c r="C54" s="8" t="inlineStr">
        <is>
          <t>J. 次段階（P1では実装しない）</t>
        </is>
      </c>
      <c r="D54" s="8" t="inlineStr">
        <is>
          <t>AC-26</t>
        </is>
      </c>
      <c r="E54" s="8" t="inlineStr">
        <is>
          <t>次段階</t>
        </is>
      </c>
      <c r="F54" s="8" t="inlineStr">
        <is>
          <t>変更が監査ログに残る</t>
        </is>
      </c>
      <c r="G54" s="8" t="inlineStr">
        <is>
          <t>権限の作成・割当の変更が操作ログに記録される＝記録漏れ0件（P1では実測を記録するのみ）</t>
        </is>
      </c>
      <c r="H54" s="8" t="inlineStr">
        <is>
          <t>変更履歴が残らない。P5の要否判断に使う</t>
        </is>
      </c>
      <c r="I54" s="8" t="inlineStr">
        <is>
          <t>P5 audit_logs</t>
        </is>
      </c>
      <c r="J54" s="8" t="inlineStr">
        <is>
          <t>（管理画面のログ）</t>
        </is>
      </c>
      <c r="K54" s="8" t="inlineStr">
        <is>
          <t>T-23</t>
        </is>
      </c>
      <c r="L54" s="8" t="inlineStr">
        <is>
          <t>§6 audit_logs</t>
        </is>
      </c>
      <c r="M54" s="8" t="inlineStr">
        <is>
          <t>T-23.png</t>
        </is>
      </c>
      <c r="N54" s="8" t="inlineStr"/>
      <c r="O54" s="8" t="inlineStr"/>
      <c r="P54" s="8" t="inlineStr"/>
      <c r="Q54" s="8" t="inlineStr"/>
    </row>
    <row r="55" ht="76" customHeight="1">
      <c r="A55" s="8" t="inlineStr">
        <is>
          <t>M9 次段階（P1対象外）</t>
        </is>
      </c>
      <c r="B55" s="8" t="inlineStr">
        <is>
          <t>P1では実装しない。実測を記録し次の優先順位を決める</t>
        </is>
      </c>
      <c r="C55" s="8" t="inlineStr">
        <is>
          <t>J. 次段階（P1では実装しない）</t>
        </is>
      </c>
      <c r="D55" s="8" t="inlineStr">
        <is>
          <t>AC-32</t>
        </is>
      </c>
      <c r="E55" s="8" t="inlineStr">
        <is>
          <t>次段階</t>
        </is>
      </c>
      <c r="F55" s="8" t="inlineStr">
        <is>
          <t>データ範囲・操作を要する権限が作れる</t>
        </is>
      </c>
      <c r="G55" s="8" t="inlineStr">
        <is>
          <t>**次段階の到達目標**。SC-03エリア長／SC-05閲覧のみ の2件が ◯（作れる）。**P1では×が想定され、×であること自体が P2（操作制限）・P3（データ範囲）を前倒しする根拠になる**。P1では判定せず結果を記録する</t>
        </is>
      </c>
      <c r="H55" s="8" t="inlineStr">
        <is>
          <t>データ範囲・操作を要する権限が作れない。P2/P3の前倒し判断に使う</t>
        </is>
      </c>
      <c r="I55" s="8" t="inlineStr">
        <is>
          <t>P2／P3</t>
        </is>
      </c>
      <c r="J55" s="8" t="inlineStr">
        <is>
          <t>全画面（SC-03／SC-05）</t>
        </is>
      </c>
      <c r="K55" s="8" t="inlineStr">
        <is>
          <t>T-22 T-23</t>
        </is>
      </c>
      <c r="L55" s="8" t="inlineStr">
        <is>
          <t>§1.2 顧客要望 / §8-6</t>
        </is>
      </c>
      <c r="M55" s="8" t="inlineStr">
        <is>
          <t>T-22.png</t>
        </is>
      </c>
      <c r="N55" s="8" t="inlineStr"/>
      <c r="O55" s="8" t="inlineStr"/>
      <c r="P55" s="8" t="inlineStr"/>
      <c r="Q55" s="8" t="inlineStr"/>
    </row>
    <row r="56" ht="76" customHeight="1">
      <c r="A56" s="8" t="inlineStr">
        <is>
          <t>M9 次段階（P1対象外）</t>
        </is>
      </c>
      <c r="B56" s="8" t="inlineStr">
        <is>
          <t>P1では実装しない。実測を記録し次の優先順位を決める</t>
        </is>
      </c>
      <c r="C56" s="8" t="inlineStr">
        <is>
          <t>J. 次段階（P1では実装しない）</t>
        </is>
      </c>
      <c r="D56" s="8" t="inlineStr">
        <is>
          <t>AC-34</t>
        </is>
      </c>
      <c r="E56" s="8" t="inlineStr">
        <is>
          <t>次段階</t>
        </is>
      </c>
      <c r="F56" s="8" t="inlineStr">
        <is>
          <t>会社画面と店舗画面の両方を扱う権限が作れる</t>
        </is>
      </c>
      <c r="G56" s="8" t="inlineStr">
        <is>
          <t>1人の権限で 会社画面（お支払い等）と店舗画面（費用設定等）の両方が開ける＝現状は×が想定</t>
        </is>
      </c>
      <c r="H56" s="8" t="inlineStr">
        <is>
          <t>経理のように会社の支払と店舗の費用設定を両方見る職務が、1人1ロールでは表現できず権限を2つ作って人を分ける運用になる</t>
        </is>
      </c>
      <c r="I56" s="8" t="inlineStr">
        <is>
          <t>user_roles（1人1ロール）／区分の設計</t>
        </is>
      </c>
      <c r="J56" s="8" t="inlineStr">
        <is>
          <t>権限編集（区分）</t>
        </is>
      </c>
      <c r="K56" s="8" t="inlineStr">
        <is>
          <t>T-09 T-09b</t>
        </is>
      </c>
      <c r="L56" s="8" t="inlineStr">
        <is>
          <t>§3.5 / §7-C 区分とデータ範囲は独立した別軸</t>
        </is>
      </c>
      <c r="M56" s="8" t="inlineStr">
        <is>
          <t>T-09b.png</t>
        </is>
      </c>
      <c r="N56" s="8" t="inlineStr"/>
      <c r="O56" s="8" t="inlineStr"/>
      <c r="P56" s="8" t="inlineStr"/>
      <c r="Q56" s="8" t="inlineStr"/>
    </row>
  </sheetData>
  <conditionalFormatting sqref="N17:N56">
    <cfRule type="cellIs" priority="1" operator="equal" dxfId="0">
      <formula>"OK"</formula>
    </cfRule>
    <cfRule type="cellIs" priority="2" operator="equal" dxfId="1">
      <formula>"NG"</formula>
    </cfRule>
  </conditionalFormatting>
  <dataValidations count="1">
    <dataValidation sqref="N17:N56" showDropDown="0" showInputMessage="0" showErrorMessage="0" allowBlank="1" type="list">
      <formula1>"OK,NG,対象外"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2026-08-07T01:48:07Z</dcterms:created>
  <dcterms:modified xmlns:dcterms="http://purl.org/dc/terms/" xmlns:xsi="http://www.w3.org/2001/XMLSchema-instance" xsi:type="dcterms:W3CDTF">2026-08-07T01:48:07Z</dcterms:modified>
</cp:coreProperties>
</file>